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tese\code\"/>
    </mc:Choice>
  </mc:AlternateContent>
  <xr:revisionPtr revIDLastSave="0" documentId="8_{CAFCB084-7727-4897-822E-A7FE65896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D22" i="1"/>
  <c r="E22" i="1"/>
  <c r="F22" i="1"/>
  <c r="G22" i="1"/>
  <c r="H22" i="1"/>
  <c r="I22" i="1"/>
  <c r="J22" i="1"/>
  <c r="K22" i="1"/>
  <c r="L22" i="1"/>
  <c r="D23" i="1"/>
  <c r="E23" i="1"/>
  <c r="F23" i="1"/>
  <c r="G23" i="1"/>
  <c r="H23" i="1"/>
  <c r="I23" i="1"/>
  <c r="J23" i="1"/>
  <c r="K23" i="1"/>
  <c r="L23" i="1"/>
  <c r="D24" i="1"/>
  <c r="E24" i="1"/>
  <c r="F24" i="1"/>
  <c r="G24" i="1"/>
  <c r="H24" i="1"/>
  <c r="I24" i="1"/>
  <c r="J24" i="1"/>
  <c r="K24" i="1"/>
  <c r="L24" i="1"/>
  <c r="D25" i="1"/>
  <c r="E25" i="1"/>
  <c r="F25" i="1"/>
  <c r="G25" i="1"/>
  <c r="H25" i="1"/>
  <c r="I25" i="1"/>
  <c r="J25" i="1"/>
  <c r="K25" i="1"/>
  <c r="L25" i="1"/>
  <c r="C22" i="1"/>
  <c r="C23" i="1"/>
  <c r="C24" i="1"/>
  <c r="C25" i="1"/>
  <c r="B22" i="1"/>
  <c r="B23" i="1"/>
  <c r="B24" i="1"/>
  <c r="B25" i="1"/>
  <c r="L44" i="1"/>
  <c r="L45" i="1"/>
  <c r="L50" i="1"/>
  <c r="L43" i="1"/>
  <c r="L32" i="1"/>
  <c r="L33" i="1"/>
  <c r="L38" i="1"/>
  <c r="L31" i="1"/>
  <c r="K32" i="1"/>
  <c r="K33" i="1"/>
  <c r="K38" i="1"/>
  <c r="K31" i="1"/>
  <c r="K44" i="1"/>
  <c r="K45" i="1"/>
  <c r="K50" i="1"/>
  <c r="K43" i="1"/>
  <c r="J44" i="1"/>
  <c r="J45" i="1"/>
  <c r="J50" i="1"/>
  <c r="J43" i="1"/>
  <c r="J32" i="1"/>
  <c r="J33" i="1"/>
  <c r="J38" i="1"/>
  <c r="J31" i="1"/>
  <c r="I44" i="1"/>
  <c r="I45" i="1"/>
  <c r="I50" i="1"/>
  <c r="I43" i="1"/>
  <c r="I32" i="1"/>
  <c r="I33" i="1"/>
  <c r="I38" i="1"/>
  <c r="I31" i="1"/>
  <c r="H44" i="1"/>
  <c r="H45" i="1"/>
  <c r="H50" i="1"/>
  <c r="H43" i="1"/>
  <c r="H32" i="1"/>
  <c r="H33" i="1"/>
  <c r="H38" i="1"/>
  <c r="H31" i="1"/>
  <c r="G44" i="1"/>
  <c r="G45" i="1"/>
  <c r="G50" i="1"/>
  <c r="G43" i="1"/>
  <c r="G32" i="1"/>
  <c r="G33" i="1"/>
  <c r="G38" i="1"/>
  <c r="G31" i="1"/>
  <c r="F44" i="1"/>
  <c r="F45" i="1"/>
  <c r="F50" i="1"/>
  <c r="F43" i="1"/>
  <c r="F32" i="1"/>
  <c r="F33" i="1"/>
  <c r="F38" i="1"/>
  <c r="F31" i="1"/>
  <c r="L19" i="1"/>
  <c r="K19" i="1"/>
  <c r="J19" i="1"/>
  <c r="I19" i="1"/>
  <c r="H19" i="1"/>
  <c r="G19" i="1"/>
  <c r="F19" i="1"/>
  <c r="L20" i="1"/>
  <c r="L21" i="1"/>
  <c r="L26" i="1"/>
  <c r="K20" i="1"/>
  <c r="K21" i="1"/>
  <c r="K26" i="1"/>
  <c r="J20" i="1"/>
  <c r="J21" i="1"/>
  <c r="J26" i="1"/>
  <c r="I20" i="1"/>
  <c r="I21" i="1"/>
  <c r="I26" i="1"/>
  <c r="H20" i="1"/>
  <c r="H21" i="1"/>
  <c r="H26" i="1"/>
  <c r="F20" i="1"/>
  <c r="F21" i="1"/>
  <c r="F26" i="1"/>
  <c r="G20" i="1"/>
  <c r="G21" i="1"/>
  <c r="G26" i="1"/>
  <c r="E20" i="1"/>
  <c r="E19" i="1"/>
  <c r="E21" i="1"/>
  <c r="E26" i="1"/>
  <c r="B50" i="1"/>
  <c r="C50" i="1"/>
  <c r="D50" i="1"/>
  <c r="E50" i="1"/>
  <c r="B38" i="1"/>
  <c r="C38" i="1"/>
  <c r="D38" i="1"/>
  <c r="E38" i="1"/>
  <c r="B26" i="1"/>
  <c r="C26" i="1"/>
  <c r="D26" i="1"/>
  <c r="E44" i="1"/>
  <c r="E45" i="1"/>
  <c r="E43" i="1"/>
  <c r="D44" i="1"/>
  <c r="D45" i="1"/>
  <c r="D43" i="1"/>
  <c r="C44" i="1"/>
  <c r="C45" i="1"/>
  <c r="C43" i="1"/>
  <c r="B44" i="1"/>
  <c r="B45" i="1"/>
  <c r="B43" i="1"/>
  <c r="E32" i="1"/>
  <c r="E33" i="1"/>
  <c r="E31" i="1"/>
  <c r="D32" i="1"/>
  <c r="D33" i="1"/>
  <c r="D31" i="1"/>
  <c r="C32" i="1"/>
  <c r="C33" i="1"/>
  <c r="C31" i="1"/>
  <c r="B32" i="1"/>
  <c r="B33" i="1"/>
  <c r="B31" i="1"/>
  <c r="D20" i="1"/>
  <c r="D21" i="1"/>
  <c r="D19" i="1"/>
  <c r="C20" i="1"/>
  <c r="C21" i="1"/>
  <c r="C19" i="1"/>
  <c r="B20" i="1"/>
  <c r="B21" i="1"/>
  <c r="B19" i="1"/>
</calcChain>
</file>

<file path=xl/sharedStrings.xml><?xml version="1.0" encoding="utf-8"?>
<sst xmlns="http://schemas.openxmlformats.org/spreadsheetml/2006/main" count="92" uniqueCount="33">
  <si>
    <t>Dataset</t>
  </si>
  <si>
    <t>Roberta Large</t>
  </si>
  <si>
    <t>Bert Large</t>
  </si>
  <si>
    <t>Precision at 1</t>
  </si>
  <si>
    <t>Precision at 5</t>
  </si>
  <si>
    <t>Precision at 10</t>
  </si>
  <si>
    <t xml:space="preserve">Trex_Language </t>
  </si>
  <si>
    <t>Trex_Capital</t>
  </si>
  <si>
    <t>Mean Avg Precision</t>
  </si>
  <si>
    <t>Roberta Large x Bert Large</t>
  </si>
  <si>
    <t>Bert Large x XLM Roberta Large</t>
  </si>
  <si>
    <t>Roberta Large x XLM Roberta Large</t>
  </si>
  <si>
    <t>Precision at  1</t>
  </si>
  <si>
    <t>Precision at  5</t>
  </si>
  <si>
    <t>Precision at  10</t>
  </si>
  <si>
    <t>Electra</t>
  </si>
  <si>
    <t>Distilbert</t>
  </si>
  <si>
    <t>Roberta Large x Electra</t>
  </si>
  <si>
    <t>Bert Large x Electra</t>
  </si>
  <si>
    <t>Roberta Large x Distilbert</t>
  </si>
  <si>
    <t>Bert Large x Distilbert</t>
  </si>
  <si>
    <t>Mean Avg Precision ajustar</t>
  </si>
  <si>
    <t xml:space="preserve">Albert Large </t>
  </si>
  <si>
    <t>Roberta Large x Albert Large</t>
  </si>
  <si>
    <t>Bert Large x Albert Large</t>
  </si>
  <si>
    <t>Albert Large x Electra</t>
  </si>
  <si>
    <t>Albert Large x Distilbert</t>
  </si>
  <si>
    <t>Electra x Distilbert</t>
  </si>
  <si>
    <t>Google_Date_Birth</t>
  </si>
  <si>
    <t>Google_Place_Birth</t>
  </si>
  <si>
    <t>Google_Place_Death</t>
  </si>
  <si>
    <t>Trex_WorksFor</t>
  </si>
  <si>
    <t>Trex_Citizen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</si>
</sst>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10" fontId="1" fillId="0" borderId="1" xfId="0" applyNumberFormat="1" applyFont="1" applyBorder="1"/>
    <xf numFmtId="10" fontId="0" fillId="0" borderId="1" xfId="0" applyNumberFormat="1" applyBorder="1"/>
    <xf numFmtId="10" fontId="0" fillId="0" borderId="1" xfId="1" applyNumberFormat="1" applyFont="1" applyBorder="1"/>
    <xf numFmtId="10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B6" sqref="B6:E8"/>
    </sheetView>
  </sheetViews>
  <sheetFormatPr defaultRowHeight="15" x14ac:dyDescent="0.25"/>
  <cols>
    <col min="1" max="1" width="25.140625" bestFit="1" customWidth="1"/>
    <col min="2" max="2" width="24" bestFit="1" customWidth="1"/>
    <col min="3" max="3" width="28.28515625" bestFit="1" customWidth="1"/>
    <col min="4" max="4" width="31.85546875" bestFit="1" customWidth="1"/>
    <col min="5" max="5" width="25.85546875" bestFit="1" customWidth="1"/>
    <col min="6" max="6" width="21.42578125" bestFit="1" customWidth="1"/>
    <col min="7" max="7" width="17.85546875" bestFit="1" customWidth="1"/>
    <col min="8" max="8" width="19.5703125" bestFit="1" customWidth="1"/>
    <col min="9" max="9" width="23.28515625" bestFit="1" customWidth="1"/>
    <col min="10" max="10" width="19.7109375" bestFit="1" customWidth="1"/>
    <col min="11" max="11" width="21.5703125" bestFit="1" customWidth="1"/>
    <col min="12" max="12" width="17" bestFit="1" customWidth="1"/>
    <col min="13" max="13" width="23.28515625" bestFit="1" customWidth="1"/>
    <col min="14" max="14" width="19.7109375" bestFit="1" customWidth="1"/>
    <col min="15" max="15" width="27.5703125" bestFit="1" customWidth="1"/>
    <col min="16" max="16" width="14" bestFit="1" customWidth="1"/>
  </cols>
  <sheetData>
    <row r="1" spans="1:19" x14ac:dyDescent="0.25">
      <c r="A1" s="9" t="s">
        <v>0</v>
      </c>
      <c r="B1" s="15" t="s">
        <v>1</v>
      </c>
      <c r="C1" s="10"/>
      <c r="D1" s="10"/>
      <c r="E1" s="15" t="s">
        <v>2</v>
      </c>
      <c r="F1" s="10"/>
      <c r="G1" s="10"/>
      <c r="H1" s="12" t="s">
        <v>22</v>
      </c>
      <c r="I1" s="13"/>
      <c r="J1" s="14"/>
      <c r="K1" s="12" t="s">
        <v>15</v>
      </c>
      <c r="L1" s="13"/>
      <c r="M1" s="14"/>
      <c r="N1" s="15" t="s">
        <v>16</v>
      </c>
      <c r="O1" s="10"/>
      <c r="P1" s="10"/>
    </row>
    <row r="2" spans="1:19" x14ac:dyDescent="0.25">
      <c r="A2" s="10"/>
      <c r="B2" s="3" t="s">
        <v>3</v>
      </c>
      <c r="C2" s="3" t="s">
        <v>4</v>
      </c>
      <c r="D2" s="3" t="s">
        <v>5</v>
      </c>
      <c r="E2" s="3" t="s">
        <v>3</v>
      </c>
      <c r="F2" s="3" t="s">
        <v>4</v>
      </c>
      <c r="G2" s="3" t="s">
        <v>5</v>
      </c>
      <c r="H2" s="3" t="s">
        <v>3</v>
      </c>
      <c r="I2" s="3" t="s">
        <v>4</v>
      </c>
      <c r="J2" s="3" t="s">
        <v>5</v>
      </c>
      <c r="K2" s="3" t="s">
        <v>3</v>
      </c>
      <c r="L2" s="3" t="s">
        <v>4</v>
      </c>
      <c r="M2" s="3" t="s">
        <v>5</v>
      </c>
      <c r="N2" s="3" t="s">
        <v>3</v>
      </c>
      <c r="O2" s="3" t="s">
        <v>4</v>
      </c>
      <c r="P2" s="3" t="s">
        <v>5</v>
      </c>
    </row>
    <row r="3" spans="1:19" x14ac:dyDescent="0.25">
      <c r="A3" s="3" t="s">
        <v>28</v>
      </c>
      <c r="B3" s="4">
        <v>3.2000000000000001E-2</v>
      </c>
      <c r="C3" s="4">
        <v>0.14899999999999999</v>
      </c>
      <c r="D3" s="4">
        <v>0.27300000000000002</v>
      </c>
      <c r="E3" s="4">
        <v>3.1E-2</v>
      </c>
      <c r="F3" s="4">
        <v>0.16300000000000001</v>
      </c>
      <c r="G3" s="4">
        <v>0.311</v>
      </c>
      <c r="H3" s="5">
        <v>2.5000000000000001E-2</v>
      </c>
      <c r="I3" s="5">
        <v>0.111</v>
      </c>
      <c r="J3" s="5">
        <v>0.20100000000000001</v>
      </c>
      <c r="K3" s="5">
        <v>1.6E-2</v>
      </c>
      <c r="L3" s="5">
        <v>7.2999999999999995E-2</v>
      </c>
      <c r="M3" s="5">
        <v>0.152</v>
      </c>
      <c r="N3" s="5">
        <v>3.6999999999999998E-2</v>
      </c>
      <c r="O3" s="5">
        <v>0.155</v>
      </c>
      <c r="P3" s="5">
        <v>0.28399999999999997</v>
      </c>
    </row>
    <row r="4" spans="1:19" x14ac:dyDescent="0.25">
      <c r="A4" s="3" t="s">
        <v>6</v>
      </c>
      <c r="B4" s="4">
        <v>0.34200000000000003</v>
      </c>
      <c r="C4" s="4">
        <v>0.34200000000000003</v>
      </c>
      <c r="D4" s="4">
        <v>0.35299999999999998</v>
      </c>
      <c r="E4" s="4">
        <v>0.35299999999999998</v>
      </c>
      <c r="F4" s="4">
        <v>0.39300000000000002</v>
      </c>
      <c r="G4" s="4">
        <v>0.39300000000000002</v>
      </c>
      <c r="H4" s="5">
        <v>0.46600000000000003</v>
      </c>
      <c r="I4" s="5">
        <v>0.46600000000000003</v>
      </c>
      <c r="J4" s="5">
        <v>0.47699999999999998</v>
      </c>
      <c r="K4" s="5">
        <v>0.47699999999999998</v>
      </c>
      <c r="L4" s="5">
        <v>0.48199999999999998</v>
      </c>
      <c r="M4" s="5">
        <v>0.48199999999999998</v>
      </c>
      <c r="N4" s="5">
        <v>0.60399999999999998</v>
      </c>
      <c r="O4" s="5">
        <v>0.60399999999999998</v>
      </c>
      <c r="P4" s="5">
        <v>0.55900000000000005</v>
      </c>
      <c r="Q4">
        <v>0.55900000000000005</v>
      </c>
      <c r="R4">
        <v>0.49099999999999999</v>
      </c>
      <c r="S4">
        <v>0.49099999999999999</v>
      </c>
    </row>
    <row r="5" spans="1:19" x14ac:dyDescent="0.25">
      <c r="A5" s="3" t="s">
        <v>7</v>
      </c>
      <c r="B5" s="4">
        <v>0.60099999999999998</v>
      </c>
      <c r="C5" s="4">
        <v>0.60099999999999998</v>
      </c>
      <c r="D5" s="4">
        <v>0.54400000000000004</v>
      </c>
      <c r="E5" s="4">
        <v>0.54400000000000004</v>
      </c>
      <c r="F5" s="4">
        <v>0.62</v>
      </c>
      <c r="G5" s="4">
        <v>0.62</v>
      </c>
      <c r="H5" s="5">
        <v>0.7</v>
      </c>
      <c r="I5" s="5">
        <v>0.7</v>
      </c>
      <c r="J5" s="5">
        <v>0.66800000000000004</v>
      </c>
      <c r="K5" s="5">
        <v>0.66800000000000004</v>
      </c>
      <c r="L5" s="5">
        <v>0.72</v>
      </c>
      <c r="M5" s="5">
        <v>0.72</v>
      </c>
      <c r="N5" s="5">
        <v>0.82099999999999995</v>
      </c>
      <c r="O5" s="5">
        <v>0.82099999999999995</v>
      </c>
      <c r="P5" s="5">
        <v>0.78900000000000003</v>
      </c>
      <c r="Q5">
        <v>0.78900000000000003</v>
      </c>
      <c r="R5">
        <v>0.78400000000000003</v>
      </c>
      <c r="S5">
        <v>0.78400000000000003</v>
      </c>
    </row>
    <row r="6" spans="1:19" x14ac:dyDescent="0.25">
      <c r="A6" s="3" t="s">
        <v>29</v>
      </c>
      <c r="B6" s="4">
        <v>0.65700000000000003</v>
      </c>
      <c r="C6" s="4">
        <v>0.65700000000000003</v>
      </c>
      <c r="D6" s="4">
        <v>0.59699999999999998</v>
      </c>
      <c r="E6" s="4">
        <v>0.59699999999999998</v>
      </c>
      <c r="F6" s="4">
        <v>0.68400000000000005</v>
      </c>
      <c r="G6" s="4">
        <v>0.68400000000000005</v>
      </c>
      <c r="H6" s="5">
        <v>0.76200000000000001</v>
      </c>
      <c r="I6" s="5">
        <v>0.76200000000000001</v>
      </c>
      <c r="J6" s="5">
        <v>0.71899999999999997</v>
      </c>
      <c r="K6" s="5">
        <v>0.71899999999999997</v>
      </c>
      <c r="L6" s="5">
        <v>0.78</v>
      </c>
      <c r="M6" s="5">
        <v>0.78</v>
      </c>
      <c r="N6" s="5">
        <v>0.876</v>
      </c>
      <c r="O6" s="5">
        <v>0.876</v>
      </c>
      <c r="P6" s="5">
        <v>0.83099999999999996</v>
      </c>
      <c r="Q6">
        <v>0.83099999999999996</v>
      </c>
      <c r="R6">
        <v>0.85799999999999998</v>
      </c>
      <c r="S6">
        <v>0.85799999999999998</v>
      </c>
    </row>
    <row r="7" spans="1:19" x14ac:dyDescent="0.25">
      <c r="A7" s="3" t="s">
        <v>30</v>
      </c>
      <c r="B7" s="4">
        <v>0.22700000000000001</v>
      </c>
      <c r="C7" s="4">
        <v>0.42399999999999999</v>
      </c>
      <c r="D7" s="4">
        <v>0.502</v>
      </c>
      <c r="E7" s="4">
        <v>0.26200000000000001</v>
      </c>
      <c r="F7" s="4">
        <v>0.50700000000000001</v>
      </c>
      <c r="G7" s="4">
        <v>0.59099999999999997</v>
      </c>
      <c r="H7" s="5">
        <v>0.14000000000000001</v>
      </c>
      <c r="I7" s="5">
        <v>0.35</v>
      </c>
      <c r="J7" s="5">
        <v>0.42</v>
      </c>
      <c r="K7" s="5">
        <v>0.17799999999999999</v>
      </c>
      <c r="L7" s="5">
        <v>0.373</v>
      </c>
      <c r="M7" s="5">
        <v>0.44600000000000001</v>
      </c>
      <c r="N7" s="5">
        <v>0.22900000000000001</v>
      </c>
      <c r="O7" s="5">
        <v>0.46</v>
      </c>
      <c r="P7" s="5">
        <v>0.55000000000000004</v>
      </c>
    </row>
    <row r="8" spans="1:19" x14ac:dyDescent="0.25">
      <c r="A8" s="3" t="s">
        <v>31</v>
      </c>
      <c r="B8" s="4">
        <v>0.66200000000000003</v>
      </c>
      <c r="C8" s="4">
        <v>0.83699999999999997</v>
      </c>
      <c r="D8" s="4">
        <v>0.89200000000000002</v>
      </c>
      <c r="E8" s="4">
        <v>0.54100000000000004</v>
      </c>
      <c r="F8" s="4">
        <v>0.79800000000000004</v>
      </c>
      <c r="G8" s="4">
        <v>0.876</v>
      </c>
      <c r="H8" s="5">
        <v>0.40500000000000003</v>
      </c>
      <c r="I8" s="5">
        <v>0.64</v>
      </c>
      <c r="J8" s="5">
        <v>0.71599999999999997</v>
      </c>
      <c r="K8" s="5">
        <v>0.39300000000000002</v>
      </c>
      <c r="L8" s="5">
        <v>0.64700000000000002</v>
      </c>
      <c r="M8" s="5">
        <v>0.73899999999999999</v>
      </c>
      <c r="N8" s="5">
        <v>0.51600000000000001</v>
      </c>
      <c r="O8" s="5">
        <v>0.78100000000000003</v>
      </c>
      <c r="P8" s="5">
        <v>0.84799999999999998</v>
      </c>
    </row>
    <row r="9" spans="1:19" x14ac:dyDescent="0.25">
      <c r="A9" s="3" t="s">
        <v>32</v>
      </c>
      <c r="B9" s="4">
        <v>0.62</v>
      </c>
      <c r="C9" s="4">
        <v>0.76700000000000002</v>
      </c>
      <c r="D9" s="4">
        <v>0.81599999999999995</v>
      </c>
      <c r="E9" s="4">
        <v>0.64400000000000002</v>
      </c>
      <c r="F9" s="4">
        <v>0.79300000000000004</v>
      </c>
      <c r="G9" s="4">
        <v>0.84499999999999997</v>
      </c>
      <c r="H9" s="5">
        <v>0.504</v>
      </c>
      <c r="I9" s="5">
        <v>0.67500000000000004</v>
      </c>
      <c r="J9" s="5">
        <v>0.72899999999999998</v>
      </c>
      <c r="K9" s="5">
        <v>0.53100000000000003</v>
      </c>
      <c r="L9" s="5">
        <v>0.67500000000000004</v>
      </c>
      <c r="M9" s="5">
        <v>0.73199999999999998</v>
      </c>
      <c r="N9" s="5">
        <v>0.57999999999999996</v>
      </c>
      <c r="O9" s="5">
        <v>0.74399999999999999</v>
      </c>
      <c r="P9" s="5">
        <v>0.81</v>
      </c>
    </row>
    <row r="10" spans="1:19" x14ac:dyDescent="0.25">
      <c r="A10" s="3" t="s">
        <v>21</v>
      </c>
      <c r="B10" s="4">
        <v>0.59</v>
      </c>
      <c r="C10" s="4">
        <v>0.72</v>
      </c>
      <c r="D10" s="4">
        <v>0.77</v>
      </c>
      <c r="E10" s="4">
        <v>0.62</v>
      </c>
      <c r="F10" s="4">
        <v>0.77</v>
      </c>
      <c r="G10" s="4">
        <v>0.82</v>
      </c>
      <c r="H10" s="5">
        <v>0.45</v>
      </c>
      <c r="I10" s="5">
        <v>0.62</v>
      </c>
      <c r="J10" s="5">
        <v>0.68</v>
      </c>
      <c r="K10" s="5">
        <v>0.48</v>
      </c>
      <c r="L10" s="5">
        <v>0.65</v>
      </c>
      <c r="M10" s="5">
        <v>0.71</v>
      </c>
      <c r="N10" s="5">
        <v>0.57999999999999996</v>
      </c>
      <c r="O10" s="5">
        <v>0.75</v>
      </c>
      <c r="P10" s="5">
        <v>0.8</v>
      </c>
    </row>
    <row r="12" spans="1:19" x14ac:dyDescent="0.25">
      <c r="B12">
        <v>0.45</v>
      </c>
      <c r="C12">
        <v>0.45</v>
      </c>
      <c r="D12">
        <v>0.51500000000000001</v>
      </c>
      <c r="E12">
        <v>0.51500000000000001</v>
      </c>
      <c r="F12">
        <v>0.54500000000000004</v>
      </c>
      <c r="G12">
        <v>0.54500000000000004</v>
      </c>
      <c r="H12">
        <v>0.64700000000000002</v>
      </c>
      <c r="I12">
        <v>0.64700000000000002</v>
      </c>
      <c r="J12">
        <v>0.65</v>
      </c>
      <c r="K12">
        <v>0.65</v>
      </c>
      <c r="L12">
        <v>0.57999999999999996</v>
      </c>
      <c r="M12">
        <v>0.57999999999999996</v>
      </c>
    </row>
    <row r="13" spans="1:19" x14ac:dyDescent="0.25">
      <c r="B13">
        <v>0.62</v>
      </c>
      <c r="C13">
        <v>0.62</v>
      </c>
      <c r="D13">
        <v>0.64500000000000002</v>
      </c>
      <c r="E13">
        <v>0.64500000000000002</v>
      </c>
      <c r="F13">
        <v>0.75</v>
      </c>
      <c r="G13">
        <v>0.75</v>
      </c>
      <c r="H13">
        <v>0.83199999999999996</v>
      </c>
      <c r="I13">
        <v>0.83199999999999996</v>
      </c>
      <c r="J13">
        <v>0.77400000000000002</v>
      </c>
      <c r="K13">
        <v>0.77400000000000002</v>
      </c>
      <c r="L13">
        <v>0.73199999999999998</v>
      </c>
      <c r="M13">
        <v>0.73199999999999998</v>
      </c>
    </row>
    <row r="14" spans="1:19" x14ac:dyDescent="0.25">
      <c r="B14">
        <v>0.70099999999999996</v>
      </c>
      <c r="C14">
        <v>0.70099999999999996</v>
      </c>
      <c r="D14">
        <v>0.68300000000000005</v>
      </c>
      <c r="E14">
        <v>0.68300000000000005</v>
      </c>
      <c r="F14">
        <v>0.78500000000000003</v>
      </c>
      <c r="G14">
        <v>0.78500000000000003</v>
      </c>
      <c r="H14">
        <v>0.88800000000000001</v>
      </c>
      <c r="I14">
        <v>0.88800000000000001</v>
      </c>
      <c r="J14">
        <v>0.81799999999999995</v>
      </c>
      <c r="K14">
        <v>0.81799999999999995</v>
      </c>
      <c r="L14">
        <v>0.80200000000000005</v>
      </c>
      <c r="M14">
        <v>0.80200000000000005</v>
      </c>
    </row>
    <row r="17" spans="1:16" x14ac:dyDescent="0.25">
      <c r="A17" s="11" t="s">
        <v>0</v>
      </c>
      <c r="B17" s="16" t="s">
        <v>12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6" x14ac:dyDescent="0.25">
      <c r="A18" s="11"/>
      <c r="B18" s="2" t="s">
        <v>9</v>
      </c>
      <c r="C18" s="2" t="s">
        <v>24</v>
      </c>
      <c r="D18" s="2" t="s">
        <v>23</v>
      </c>
      <c r="E18" s="2" t="s">
        <v>23</v>
      </c>
      <c r="F18" s="2" t="s">
        <v>17</v>
      </c>
      <c r="G18" s="2" t="s">
        <v>18</v>
      </c>
      <c r="H18" s="2" t="s">
        <v>25</v>
      </c>
      <c r="I18" s="2" t="s">
        <v>19</v>
      </c>
      <c r="J18" s="2" t="s">
        <v>20</v>
      </c>
      <c r="K18" s="2" t="s">
        <v>26</v>
      </c>
      <c r="L18" s="2" t="s">
        <v>27</v>
      </c>
    </row>
    <row r="19" spans="1:16" x14ac:dyDescent="0.25">
      <c r="A19" s="3" t="s">
        <v>28</v>
      </c>
      <c r="B19" s="5">
        <f>((B3/E3)-1)</f>
        <v>3.2258064516129004E-2</v>
      </c>
      <c r="C19" s="5">
        <f>((E3/H3)-1)</f>
        <v>0.24</v>
      </c>
      <c r="D19" s="5">
        <f>((B3/H3)-1)</f>
        <v>0.28000000000000003</v>
      </c>
      <c r="E19" s="5">
        <f>((B3/H3)-1)</f>
        <v>0.28000000000000003</v>
      </c>
      <c r="F19" s="5">
        <f>(($B$3/$H$3)-1)</f>
        <v>0.28000000000000003</v>
      </c>
      <c r="G19" s="5">
        <f>(($E3/$K3)-1)</f>
        <v>0.9375</v>
      </c>
      <c r="H19" s="5">
        <f>(($H3/$K3)-1)</f>
        <v>0.5625</v>
      </c>
      <c r="I19" s="5">
        <f>(($B3/$N3)-1)</f>
        <v>-0.13513513513513509</v>
      </c>
      <c r="J19" s="5">
        <f>(($E3/$N3)-1)</f>
        <v>-0.16216216216216217</v>
      </c>
      <c r="K19" s="5">
        <f>(($H3/$N3)-1)</f>
        <v>-0.32432432432432423</v>
      </c>
      <c r="L19" s="5">
        <f>(($K3/$N3)-1)</f>
        <v>-0.56756756756756754</v>
      </c>
    </row>
    <row r="20" spans="1:16" x14ac:dyDescent="0.25">
      <c r="A20" s="3" t="s">
        <v>6</v>
      </c>
      <c r="B20" s="5">
        <f>((B4/E4)-1)</f>
        <v>-3.1161473087818581E-2</v>
      </c>
      <c r="C20" s="5">
        <f>((E4/H4)-1)</f>
        <v>-0.24248927038626622</v>
      </c>
      <c r="D20" s="5">
        <f>((B4/H4)-1)</f>
        <v>-0.26609442060085831</v>
      </c>
      <c r="E20" s="5">
        <f>((B4/H4)-1)</f>
        <v>-0.26609442060085831</v>
      </c>
      <c r="F20" s="5">
        <f>((B4/H4)-1)</f>
        <v>-0.26609442060085831</v>
      </c>
      <c r="G20" s="5">
        <f>((E4/K4)-1)</f>
        <v>-0.25995807127882598</v>
      </c>
      <c r="H20" s="5">
        <f>((H4/K4)-1)</f>
        <v>-2.3060796645702264E-2</v>
      </c>
      <c r="I20" s="5">
        <f>((B4/N4)-1)</f>
        <v>-0.43377483443708598</v>
      </c>
      <c r="J20" s="5">
        <f>((E4/N4)-1)</f>
        <v>-0.41556291390728484</v>
      </c>
      <c r="K20" s="5">
        <f>((H4/N4)-1)</f>
        <v>-0.22847682119205293</v>
      </c>
      <c r="L20" s="5">
        <f>((K4/N4)-1)</f>
        <v>-0.21026490066225167</v>
      </c>
    </row>
    <row r="21" spans="1:16" x14ac:dyDescent="0.25">
      <c r="A21" s="3" t="s">
        <v>7</v>
      </c>
      <c r="B21" s="5">
        <f>((B5/E5)-1)</f>
        <v>0.10477941176470584</v>
      </c>
      <c r="C21" s="5">
        <f>((E5/H5)-1)</f>
        <v>-0.22285714285714275</v>
      </c>
      <c r="D21" s="5">
        <f>((B5/H5)-1)</f>
        <v>-0.14142857142857146</v>
      </c>
      <c r="E21" s="5">
        <f>((B5/H5)-1)</f>
        <v>-0.14142857142857146</v>
      </c>
      <c r="F21" s="5">
        <f>((B5/H5)-1)</f>
        <v>-0.14142857142857146</v>
      </c>
      <c r="G21" s="5">
        <f>((E5/K5)-1)</f>
        <v>-0.18562874251497008</v>
      </c>
      <c r="H21" s="5">
        <f>((H5/K5)-1)</f>
        <v>4.7904191616766401E-2</v>
      </c>
      <c r="I21" s="5">
        <f>((B5/N5)-1)</f>
        <v>-0.2679658952496955</v>
      </c>
      <c r="J21" s="5">
        <f>((E5/N5)-1)</f>
        <v>-0.33739342265529837</v>
      </c>
      <c r="K21" s="5">
        <f>((H5/N5)-1)</f>
        <v>-0.14738124238733252</v>
      </c>
      <c r="L21" s="5">
        <f>((K5/N5)-1)</f>
        <v>-0.18635809987819718</v>
      </c>
    </row>
    <row r="22" spans="1:16" x14ac:dyDescent="0.25">
      <c r="A22" s="3" t="s">
        <v>29</v>
      </c>
      <c r="B22" s="5">
        <f t="shared" ref="B22:B25" si="0">((B6/E6)-1)</f>
        <v>0.10050251256281406</v>
      </c>
      <c r="C22" s="5">
        <f t="shared" ref="C22:C25" si="1">((E6/H6)-1)</f>
        <v>-0.2165354330708662</v>
      </c>
      <c r="D22" s="5">
        <f t="shared" ref="D22:D25" si="2">((B6/H6)-1)</f>
        <v>-0.13779527559055116</v>
      </c>
      <c r="E22" s="5">
        <f t="shared" ref="E22:E25" si="3">((B6/H6)-1)</f>
        <v>-0.13779527559055116</v>
      </c>
      <c r="F22" s="5">
        <f t="shared" ref="F22:F25" si="4">((B6/H6)-1)</f>
        <v>-0.13779527559055116</v>
      </c>
      <c r="G22" s="5">
        <f t="shared" ref="G22:G25" si="5">((E6/K6)-1)</f>
        <v>-0.16968011126564675</v>
      </c>
      <c r="H22" s="5">
        <f t="shared" ref="H22:H25" si="6">((H6/K6)-1)</f>
        <v>5.9805285118219809E-2</v>
      </c>
      <c r="I22" s="5">
        <f t="shared" ref="I22:I25" si="7">((B6/N6)-1)</f>
        <v>-0.25</v>
      </c>
      <c r="J22" s="5">
        <f t="shared" ref="J22:J25" si="8">((E6/N6)-1)</f>
        <v>-0.31849315068493156</v>
      </c>
      <c r="K22" s="5">
        <f t="shared" ref="K22:K25" si="9">((H6/N6)-1)</f>
        <v>-0.13013698630136983</v>
      </c>
      <c r="L22" s="5">
        <f t="shared" ref="L22:L25" si="10">((K6/N6)-1)</f>
        <v>-0.17922374429223753</v>
      </c>
    </row>
    <row r="23" spans="1:16" x14ac:dyDescent="0.25">
      <c r="A23" s="3" t="s">
        <v>30</v>
      </c>
      <c r="B23" s="5">
        <f t="shared" si="0"/>
        <v>-0.13358778625954204</v>
      </c>
      <c r="C23" s="5">
        <f t="shared" si="1"/>
        <v>0.87142857142857122</v>
      </c>
      <c r="D23" s="5">
        <f t="shared" si="2"/>
        <v>0.62142857142857122</v>
      </c>
      <c r="E23" s="5">
        <f t="shared" si="3"/>
        <v>0.62142857142857122</v>
      </c>
      <c r="F23" s="5">
        <f t="shared" si="4"/>
        <v>0.62142857142857122</v>
      </c>
      <c r="G23" s="5">
        <f t="shared" si="5"/>
        <v>0.4719101123595506</v>
      </c>
      <c r="H23" s="5">
        <f t="shared" si="6"/>
        <v>-0.21348314606741559</v>
      </c>
      <c r="I23" s="5">
        <f t="shared" si="7"/>
        <v>-8.733624454148492E-3</v>
      </c>
      <c r="J23" s="5">
        <f t="shared" si="8"/>
        <v>0.14410480349344978</v>
      </c>
      <c r="K23" s="5">
        <f t="shared" si="9"/>
        <v>-0.388646288209607</v>
      </c>
      <c r="L23" s="5">
        <f t="shared" si="10"/>
        <v>-0.2227074235807861</v>
      </c>
    </row>
    <row r="24" spans="1:16" x14ac:dyDescent="0.25">
      <c r="A24" s="3" t="s">
        <v>31</v>
      </c>
      <c r="B24" s="5">
        <f t="shared" si="0"/>
        <v>0.22365988909426981</v>
      </c>
      <c r="C24" s="5">
        <f t="shared" si="1"/>
        <v>0.33580246913580236</v>
      </c>
      <c r="D24" s="5">
        <f t="shared" si="2"/>
        <v>0.63456790123456797</v>
      </c>
      <c r="E24" s="5">
        <f t="shared" si="3"/>
        <v>0.63456790123456797</v>
      </c>
      <c r="F24" s="5">
        <f t="shared" si="4"/>
        <v>0.63456790123456797</v>
      </c>
      <c r="G24" s="5">
        <f t="shared" si="5"/>
        <v>0.37659033078880411</v>
      </c>
      <c r="H24" s="5">
        <f t="shared" si="6"/>
        <v>3.0534351145038219E-2</v>
      </c>
      <c r="I24" s="5">
        <f t="shared" si="7"/>
        <v>0.28294573643410859</v>
      </c>
      <c r="J24" s="5">
        <f t="shared" si="8"/>
        <v>4.8449612403100861E-2</v>
      </c>
      <c r="K24" s="5">
        <f t="shared" si="9"/>
        <v>-0.21511627906976738</v>
      </c>
      <c r="L24" s="5">
        <f t="shared" si="10"/>
        <v>-0.23837209302325579</v>
      </c>
    </row>
    <row r="25" spans="1:16" x14ac:dyDescent="0.25">
      <c r="A25" s="3" t="s">
        <v>32</v>
      </c>
      <c r="B25" s="5">
        <f t="shared" si="0"/>
        <v>-3.7267080745341685E-2</v>
      </c>
      <c r="C25" s="5">
        <f t="shared" si="1"/>
        <v>0.2777777777777779</v>
      </c>
      <c r="D25" s="5">
        <f t="shared" si="2"/>
        <v>0.23015873015873023</v>
      </c>
      <c r="E25" s="5">
        <f t="shared" si="3"/>
        <v>0.23015873015873023</v>
      </c>
      <c r="F25" s="5">
        <f t="shared" si="4"/>
        <v>0.23015873015873023</v>
      </c>
      <c r="G25" s="5">
        <f t="shared" si="5"/>
        <v>0.2128060263653484</v>
      </c>
      <c r="H25" s="5">
        <f t="shared" si="6"/>
        <v>-5.0847457627118731E-2</v>
      </c>
      <c r="I25" s="5">
        <f t="shared" si="7"/>
        <v>6.8965517241379448E-2</v>
      </c>
      <c r="J25" s="5">
        <f t="shared" si="8"/>
        <v>0.1103448275862069</v>
      </c>
      <c r="K25" s="5">
        <f t="shared" si="9"/>
        <v>-0.13103448275862062</v>
      </c>
      <c r="L25" s="5">
        <f t="shared" si="10"/>
        <v>-8.4482758620689546E-2</v>
      </c>
      <c r="M25" s="7"/>
      <c r="N25" s="7"/>
      <c r="O25" s="7"/>
      <c r="P25" s="7"/>
    </row>
    <row r="26" spans="1:16" x14ac:dyDescent="0.25">
      <c r="A26" s="3" t="s">
        <v>8</v>
      </c>
      <c r="B26" s="5">
        <f t="shared" ref="B26" si="11">((B10/E10)-1)</f>
        <v>-4.8387096774193616E-2</v>
      </c>
      <c r="C26" s="5">
        <f t="shared" ref="C26" si="12">((E10/H10)-1)</f>
        <v>0.37777777777777777</v>
      </c>
      <c r="D26" s="5">
        <f t="shared" ref="D26" si="13">((B10/H10)-1)</f>
        <v>0.31111111111111112</v>
      </c>
      <c r="E26" s="5">
        <f t="shared" ref="E26" si="14">((B10/H10)-1)</f>
        <v>0.31111111111111112</v>
      </c>
      <c r="F26" s="5">
        <f t="shared" ref="F26" si="15">((B10/H10)-1)</f>
        <v>0.31111111111111112</v>
      </c>
      <c r="G26" s="5">
        <f t="shared" ref="G26" si="16">((E10/K10)-1)</f>
        <v>0.29166666666666674</v>
      </c>
      <c r="H26" s="5">
        <f t="shared" ref="H26" si="17">((H10/K10)-1)</f>
        <v>-6.2499999999999889E-2</v>
      </c>
      <c r="I26" s="5">
        <f t="shared" ref="I26" si="18">((B10/N10)-1)</f>
        <v>1.7241379310344751E-2</v>
      </c>
      <c r="J26" s="5">
        <f t="shared" ref="J26" si="19">((E10/N10)-1)</f>
        <v>6.8965517241379448E-2</v>
      </c>
      <c r="K26" s="5">
        <f t="shared" ref="K26" si="20">((H10/N10)-1)</f>
        <v>-0.22413793103448265</v>
      </c>
      <c r="L26" s="5">
        <f t="shared" ref="L26" si="21">((K10/N10)-1)</f>
        <v>-0.17241379310344829</v>
      </c>
    </row>
    <row r="27" spans="1:16" x14ac:dyDescent="0.25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9" spans="1:16" x14ac:dyDescent="0.25">
      <c r="A29" s="11" t="s">
        <v>0</v>
      </c>
      <c r="B29" s="16" t="s">
        <v>13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6" x14ac:dyDescent="0.25">
      <c r="A30" s="11"/>
      <c r="B30" s="2" t="s">
        <v>9</v>
      </c>
      <c r="C30" s="2" t="s">
        <v>24</v>
      </c>
      <c r="D30" s="2" t="s">
        <v>11</v>
      </c>
      <c r="E30" s="2" t="s">
        <v>23</v>
      </c>
      <c r="F30" s="2" t="s">
        <v>17</v>
      </c>
      <c r="G30" s="2" t="s">
        <v>18</v>
      </c>
      <c r="H30" s="2" t="s">
        <v>25</v>
      </c>
      <c r="I30" s="2" t="s">
        <v>19</v>
      </c>
      <c r="J30" s="2" t="s">
        <v>20</v>
      </c>
      <c r="K30" s="2" t="s">
        <v>26</v>
      </c>
      <c r="L30" s="2" t="s">
        <v>27</v>
      </c>
    </row>
    <row r="31" spans="1:16" x14ac:dyDescent="0.25">
      <c r="A31" s="3" t="s">
        <v>28</v>
      </c>
      <c r="B31" s="5">
        <f>((C3/E3)-1)</f>
        <v>3.806451612903226</v>
      </c>
      <c r="C31" s="5">
        <f>((F3/I3)-1)</f>
        <v>0.46846846846846857</v>
      </c>
      <c r="D31" s="5">
        <f>((C3/I3)-1)</f>
        <v>0.34234234234234218</v>
      </c>
      <c r="E31" s="5">
        <f>((C3/L3)-1)</f>
        <v>1.0410958904109591</v>
      </c>
      <c r="F31" s="5">
        <f>(($C$3/$I$3)-1)</f>
        <v>0.34234234234234218</v>
      </c>
      <c r="G31" s="5">
        <f>(($F3/$L3)-1)</f>
        <v>1.2328767123287672</v>
      </c>
      <c r="H31" s="5">
        <f>(($I3/$L3)-1)</f>
        <v>0.52054794520547953</v>
      </c>
      <c r="I31" s="5">
        <f>(($C3/$O3)-1)</f>
        <v>-3.8709677419354827E-2</v>
      </c>
      <c r="J31" s="5">
        <f>(($F3/$O3)-1)</f>
        <v>5.1612903225806583E-2</v>
      </c>
      <c r="K31" s="5">
        <f>(($I3/$O3)-1)</f>
        <v>-0.28387096774193543</v>
      </c>
      <c r="L31" s="5">
        <f>(($L3/$O3)-1)</f>
        <v>-0.52903225806451615</v>
      </c>
    </row>
    <row r="32" spans="1:16" x14ac:dyDescent="0.25">
      <c r="A32" s="3" t="s">
        <v>6</v>
      </c>
      <c r="B32" s="5">
        <f>((C4/E4)-1)</f>
        <v>-3.1161473087818581E-2</v>
      </c>
      <c r="C32" s="5">
        <f>((F4/I4)-1)</f>
        <v>-0.15665236051502152</v>
      </c>
      <c r="D32" s="5">
        <f>((C4/I4)-1)</f>
        <v>-0.26609442060085831</v>
      </c>
      <c r="E32" s="5">
        <f>((C4/L4)-1)</f>
        <v>-0.29045643153526968</v>
      </c>
      <c r="F32" s="5">
        <f t="shared" ref="F32:F38" si="22">(($C$3/$I$3)-1)</f>
        <v>0.34234234234234218</v>
      </c>
      <c r="G32" s="5">
        <f>(($F4/$L4)-1)</f>
        <v>-0.18464730290456421</v>
      </c>
      <c r="H32" s="5">
        <f>(($I4/$L4)-1)</f>
        <v>-3.3195020746887849E-2</v>
      </c>
      <c r="I32" s="5">
        <f>(($C4/$O4)-1)</f>
        <v>-0.43377483443708598</v>
      </c>
      <c r="J32" s="5">
        <f>(($F4/$O4)-1)</f>
        <v>-0.34933774834437081</v>
      </c>
      <c r="K32" s="5">
        <f>(($I4/$O4)-1)</f>
        <v>-0.22847682119205293</v>
      </c>
      <c r="L32" s="5">
        <f>(($L4/$O4)-1)</f>
        <v>-0.20198675496688745</v>
      </c>
    </row>
    <row r="33" spans="1:16" ht="13.5" customHeight="1" x14ac:dyDescent="0.25">
      <c r="A33" s="3" t="s">
        <v>7</v>
      </c>
      <c r="B33" s="5">
        <f>((C5/E5)-1)</f>
        <v>0.10477941176470584</v>
      </c>
      <c r="C33" s="5">
        <f>((F5/I5)-1)</f>
        <v>-0.11428571428571421</v>
      </c>
      <c r="D33" s="5">
        <f>((C5/I5)-1)</f>
        <v>-0.14142857142857146</v>
      </c>
      <c r="E33" s="5">
        <f>((C5/L5)-1)</f>
        <v>-0.16527777777777775</v>
      </c>
      <c r="F33" s="5">
        <f t="shared" si="22"/>
        <v>0.34234234234234218</v>
      </c>
      <c r="G33" s="5">
        <f>(($F5/$L5)-1)</f>
        <v>-0.13888888888888884</v>
      </c>
      <c r="H33" s="5">
        <f>(($I5/$L5)-1)</f>
        <v>-2.777777777777779E-2</v>
      </c>
      <c r="I33" s="5">
        <f>(($C5/$O5)-1)</f>
        <v>-0.2679658952496955</v>
      </c>
      <c r="J33" s="5">
        <f>(($F5/$O5)-1)</f>
        <v>-0.2448233861144945</v>
      </c>
      <c r="K33" s="5">
        <f>(($I5/$O5)-1)</f>
        <v>-0.14738124238733252</v>
      </c>
      <c r="L33" s="5">
        <f>(($L5/$O5)-1)</f>
        <v>-0.12302070645554197</v>
      </c>
    </row>
    <row r="34" spans="1:16" x14ac:dyDescent="0.25">
      <c r="A34" s="3" t="s">
        <v>29</v>
      </c>
      <c r="B34" s="5">
        <f t="shared" ref="B34:B37" si="23">((C6/E6)-1)</f>
        <v>0.10050251256281406</v>
      </c>
      <c r="C34" s="5">
        <f t="shared" ref="C34:C37" si="24">((F6/I6)-1)</f>
        <v>-0.10236220472440938</v>
      </c>
      <c r="D34" s="5">
        <f t="shared" ref="D34:D37" si="25">((C6/I6)-1)</f>
        <v>-0.13779527559055116</v>
      </c>
      <c r="E34" s="5">
        <f t="shared" ref="E34:E37" si="26">((C6/L6)-1)</f>
        <v>-0.15769230769230769</v>
      </c>
      <c r="F34" s="5">
        <f t="shared" si="22"/>
        <v>0.34234234234234218</v>
      </c>
      <c r="G34" s="5">
        <f t="shared" ref="G34:G37" si="27">(($F6/$L6)-1)</f>
        <v>-0.12307692307692308</v>
      </c>
      <c r="H34" s="5">
        <f t="shared" ref="H34:H37" si="28">(($I6/$L6)-1)</f>
        <v>-2.3076923076923106E-2</v>
      </c>
      <c r="I34" s="5">
        <f t="shared" ref="I34:I37" si="29">(($C6/$O6)-1)</f>
        <v>-0.25</v>
      </c>
      <c r="J34" s="5">
        <f t="shared" ref="J34:J37" si="30">(($F6/$O6)-1)</f>
        <v>-0.21917808219178081</v>
      </c>
      <c r="K34" s="5">
        <f t="shared" ref="K34:K37" si="31">(($I6/$O6)-1)</f>
        <v>-0.13013698630136983</v>
      </c>
      <c r="L34" s="5">
        <f t="shared" ref="L34:L37" si="32">(($L6/$O6)-1)</f>
        <v>-0.1095890410958904</v>
      </c>
    </row>
    <row r="35" spans="1:16" x14ac:dyDescent="0.25">
      <c r="A35" s="3" t="s">
        <v>30</v>
      </c>
      <c r="B35" s="5">
        <f t="shared" si="23"/>
        <v>0.61832061068702271</v>
      </c>
      <c r="C35" s="5">
        <f t="shared" si="24"/>
        <v>0.44857142857142862</v>
      </c>
      <c r="D35" s="5">
        <f t="shared" si="25"/>
        <v>0.21142857142857152</v>
      </c>
      <c r="E35" s="5">
        <f t="shared" si="26"/>
        <v>0.13672922252010711</v>
      </c>
      <c r="F35" s="5">
        <f t="shared" si="22"/>
        <v>0.34234234234234218</v>
      </c>
      <c r="G35" s="5">
        <f t="shared" si="27"/>
        <v>0.35924932975871315</v>
      </c>
      <c r="H35" s="5">
        <f t="shared" si="28"/>
        <v>-6.1662198391420953E-2</v>
      </c>
      <c r="I35" s="5">
        <f t="shared" si="29"/>
        <v>-7.8260869565217495E-2</v>
      </c>
      <c r="J35" s="5">
        <f t="shared" si="30"/>
        <v>0.10217391304347823</v>
      </c>
      <c r="K35" s="5">
        <f t="shared" si="31"/>
        <v>-0.23913043478260876</v>
      </c>
      <c r="L35" s="5">
        <f t="shared" si="32"/>
        <v>-0.18913043478260871</v>
      </c>
    </row>
    <row r="36" spans="1:16" x14ac:dyDescent="0.25">
      <c r="A36" s="3" t="s">
        <v>31</v>
      </c>
      <c r="B36" s="5">
        <f t="shared" si="23"/>
        <v>0.54713493530499058</v>
      </c>
      <c r="C36" s="5">
        <f t="shared" si="24"/>
        <v>0.24687499999999996</v>
      </c>
      <c r="D36" s="5">
        <f t="shared" si="25"/>
        <v>0.30781249999999982</v>
      </c>
      <c r="E36" s="5">
        <f t="shared" si="26"/>
        <v>0.2936630602782071</v>
      </c>
      <c r="F36" s="5">
        <f t="shared" si="22"/>
        <v>0.34234234234234218</v>
      </c>
      <c r="G36" s="5">
        <f t="shared" si="27"/>
        <v>0.23338485316846991</v>
      </c>
      <c r="H36" s="5">
        <f t="shared" si="28"/>
        <v>-1.0819165378670781E-2</v>
      </c>
      <c r="I36" s="5">
        <f t="shared" si="29"/>
        <v>7.1702944942381386E-2</v>
      </c>
      <c r="J36" s="5">
        <f t="shared" si="30"/>
        <v>2.1766965428937191E-2</v>
      </c>
      <c r="K36" s="5">
        <f t="shared" si="31"/>
        <v>-0.18053777208706789</v>
      </c>
      <c r="L36" s="5">
        <f t="shared" si="32"/>
        <v>-0.17157490396927022</v>
      </c>
    </row>
    <row r="37" spans="1:16" x14ac:dyDescent="0.25">
      <c r="A37" s="3" t="s">
        <v>32</v>
      </c>
      <c r="B37" s="5">
        <f t="shared" si="23"/>
        <v>0.19099378881987583</v>
      </c>
      <c r="C37" s="5">
        <f t="shared" si="24"/>
        <v>0.17481481481481476</v>
      </c>
      <c r="D37" s="5">
        <f t="shared" si="25"/>
        <v>0.13629629629629614</v>
      </c>
      <c r="E37" s="5">
        <f t="shared" si="26"/>
        <v>0.13629629629629614</v>
      </c>
      <c r="F37" s="5">
        <f t="shared" si="22"/>
        <v>0.34234234234234218</v>
      </c>
      <c r="G37" s="5">
        <f t="shared" si="27"/>
        <v>0.17481481481481476</v>
      </c>
      <c r="H37" s="5">
        <f t="shared" si="28"/>
        <v>0</v>
      </c>
      <c r="I37" s="5">
        <f t="shared" si="29"/>
        <v>3.0913978494623739E-2</v>
      </c>
      <c r="J37" s="5">
        <f t="shared" si="30"/>
        <v>6.5860215053763493E-2</v>
      </c>
      <c r="K37" s="5">
        <f t="shared" si="31"/>
        <v>-9.2741935483870885E-2</v>
      </c>
      <c r="L37" s="5">
        <f t="shared" si="32"/>
        <v>-9.2741935483870885E-2</v>
      </c>
      <c r="M37" s="7"/>
      <c r="N37" s="7"/>
      <c r="O37" s="7"/>
      <c r="P37" s="7"/>
    </row>
    <row r="38" spans="1:16" x14ac:dyDescent="0.25">
      <c r="A38" s="3" t="s">
        <v>8</v>
      </c>
      <c r="B38" s="5">
        <f t="shared" ref="B38" si="33">((C10/E10)-1)</f>
        <v>0.16129032258064502</v>
      </c>
      <c r="C38" s="5">
        <f t="shared" ref="C38" si="34">((F10/I10)-1)</f>
        <v>0.24193548387096775</v>
      </c>
      <c r="D38" s="5">
        <f t="shared" ref="D38" si="35">((C10/I10)-1)</f>
        <v>0.16129032258064502</v>
      </c>
      <c r="E38" s="5">
        <f t="shared" ref="E38" si="36">((C10/L10)-1)</f>
        <v>0.10769230769230753</v>
      </c>
      <c r="F38" s="5">
        <f t="shared" si="22"/>
        <v>0.34234234234234218</v>
      </c>
      <c r="G38" s="5">
        <f t="shared" ref="G38" si="37">(($F10/$L10)-1)</f>
        <v>0.18461538461538463</v>
      </c>
      <c r="H38" s="5">
        <f t="shared" ref="H38" si="38">(($I10/$L10)-1)</f>
        <v>-4.6153846153846212E-2</v>
      </c>
      <c r="I38" s="5">
        <f t="shared" ref="I38" si="39">(($C10/$O10)-1)</f>
        <v>-4.0000000000000036E-2</v>
      </c>
      <c r="J38" s="5">
        <f t="shared" ref="J38" si="40">(($F10/$O10)-1)</f>
        <v>2.6666666666666616E-2</v>
      </c>
      <c r="K38" s="5">
        <f t="shared" ref="K38" si="41">(($I10/$O10)-1)</f>
        <v>-0.17333333333333334</v>
      </c>
      <c r="L38" s="5">
        <f t="shared" ref="L38" si="42">(($L10/$O10)-1)</f>
        <v>-0.1333333333333333</v>
      </c>
    </row>
    <row r="39" spans="1:16" x14ac:dyDescent="0.25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1" spans="1:16" x14ac:dyDescent="0.25">
      <c r="A41" s="11" t="s">
        <v>0</v>
      </c>
      <c r="B41" s="16" t="s">
        <v>14</v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6" x14ac:dyDescent="0.25">
      <c r="A42" s="11"/>
      <c r="B42" s="2" t="s">
        <v>9</v>
      </c>
      <c r="C42" s="2" t="s">
        <v>10</v>
      </c>
      <c r="D42" s="2" t="s">
        <v>11</v>
      </c>
      <c r="E42" s="2" t="s">
        <v>23</v>
      </c>
      <c r="F42" s="2" t="s">
        <v>17</v>
      </c>
      <c r="G42" s="2" t="s">
        <v>18</v>
      </c>
      <c r="H42" s="2" t="s">
        <v>25</v>
      </c>
      <c r="I42" s="2" t="s">
        <v>19</v>
      </c>
      <c r="J42" s="2" t="s">
        <v>20</v>
      </c>
      <c r="K42" s="2" t="s">
        <v>26</v>
      </c>
      <c r="L42" s="2" t="s">
        <v>27</v>
      </c>
    </row>
    <row r="43" spans="1:16" x14ac:dyDescent="0.25">
      <c r="A43" s="3" t="s">
        <v>28</v>
      </c>
      <c r="B43" s="6">
        <f t="shared" ref="B43:B49" si="43">((D3/G3)-1)</f>
        <v>-0.12218649517684876</v>
      </c>
      <c r="C43" s="6">
        <f t="shared" ref="C43:C49" si="44">((G3/J3)-1)</f>
        <v>0.54726368159203975</v>
      </c>
      <c r="D43" s="6">
        <f t="shared" ref="D43:D49" si="45">((D3/J3)-1)</f>
        <v>0.35820895522388052</v>
      </c>
      <c r="E43" s="6">
        <f t="shared" ref="E43:E49" si="46">((D3/M3)-1)</f>
        <v>0.79605263157894757</v>
      </c>
      <c r="F43" s="5">
        <f>(($D$3/$J$3)-1)</f>
        <v>0.35820895522388052</v>
      </c>
      <c r="G43" s="5">
        <f>(($G3/$M3)-1)</f>
        <v>1.0460526315789473</v>
      </c>
      <c r="H43" s="5">
        <f>(($J3/$M3)-1)</f>
        <v>0.32236842105263164</v>
      </c>
      <c r="I43" s="5">
        <f>(($D3/$P3)-1)</f>
        <v>-3.873239436619702E-2</v>
      </c>
      <c r="J43" s="5">
        <f>(($G3/$P3)-1)</f>
        <v>9.5070422535211252E-2</v>
      </c>
      <c r="K43" s="5">
        <f>(($J3/$P3)-1)</f>
        <v>-0.29225352112676051</v>
      </c>
      <c r="L43" s="5">
        <f>(($M3/$P3)-1)</f>
        <v>-0.46478873239436613</v>
      </c>
    </row>
    <row r="44" spans="1:16" x14ac:dyDescent="0.25">
      <c r="A44" s="3" t="s">
        <v>6</v>
      </c>
      <c r="B44" s="6">
        <f t="shared" si="43"/>
        <v>-0.10178117048346069</v>
      </c>
      <c r="C44" s="6">
        <f t="shared" si="44"/>
        <v>-0.17610062893081757</v>
      </c>
      <c r="D44" s="6">
        <f t="shared" si="45"/>
        <v>-0.25995807127882598</v>
      </c>
      <c r="E44" s="6">
        <f t="shared" si="46"/>
        <v>-0.26763485477178428</v>
      </c>
      <c r="F44" s="5">
        <f t="shared" ref="F44:F50" si="47">(($D$3/$J$3)-1)</f>
        <v>0.35820895522388052</v>
      </c>
      <c r="G44" s="5">
        <f>(($G4/$M4)-1)</f>
        <v>-0.18464730290456421</v>
      </c>
      <c r="H44" s="5">
        <f>(($J4/$M4)-1)</f>
        <v>-1.0373443983402453E-2</v>
      </c>
      <c r="I44" s="5">
        <f>(($D4/$P4)-1)</f>
        <v>-0.36851520572450813</v>
      </c>
      <c r="J44" s="5">
        <f>(($G4/$P4)-1)</f>
        <v>-0.29695885509839004</v>
      </c>
      <c r="K44" s="5">
        <f>(($J4/$P4)-1)</f>
        <v>-0.14669051878354211</v>
      </c>
      <c r="L44" s="5">
        <f>(($M4/$P4)-1)</f>
        <v>-0.13774597495527741</v>
      </c>
    </row>
    <row r="45" spans="1:16" x14ac:dyDescent="0.25">
      <c r="A45" s="3" t="s">
        <v>7</v>
      </c>
      <c r="B45" s="6">
        <f t="shared" si="43"/>
        <v>-0.1225806451612903</v>
      </c>
      <c r="C45" s="6">
        <f t="shared" si="44"/>
        <v>-7.1856287425149712E-2</v>
      </c>
      <c r="D45" s="6">
        <f t="shared" si="45"/>
        <v>-0.18562874251497008</v>
      </c>
      <c r="E45" s="6">
        <f t="shared" si="46"/>
        <v>-0.24444444444444435</v>
      </c>
      <c r="F45" s="5">
        <f t="shared" si="47"/>
        <v>0.35820895522388052</v>
      </c>
      <c r="G45" s="5">
        <f>(($G5/$M5)-1)</f>
        <v>-0.13888888888888884</v>
      </c>
      <c r="H45" s="5">
        <f>(($J5/$M5)-1)</f>
        <v>-7.2222222222222188E-2</v>
      </c>
      <c r="I45" s="5">
        <f>(($D5/$P5)-1)</f>
        <v>-0.31051964512040553</v>
      </c>
      <c r="J45" s="5">
        <f>(($G5/$P5)-1)</f>
        <v>-0.21419518377693292</v>
      </c>
      <c r="K45" s="5">
        <f>(($J5/$P5)-1)</f>
        <v>-0.15335868187579216</v>
      </c>
      <c r="L45" s="5">
        <f>(($M5/$P5)-1)</f>
        <v>-8.7452471482889815E-2</v>
      </c>
    </row>
    <row r="46" spans="1:16" x14ac:dyDescent="0.25">
      <c r="A46" s="3" t="s">
        <v>29</v>
      </c>
      <c r="B46" s="6">
        <f t="shared" si="43"/>
        <v>-0.12719298245614041</v>
      </c>
      <c r="C46" s="6">
        <f t="shared" si="44"/>
        <v>-4.8678720445062496E-2</v>
      </c>
      <c r="D46" s="6">
        <f t="shared" si="45"/>
        <v>-0.16968011126564675</v>
      </c>
      <c r="E46" s="6">
        <f t="shared" si="46"/>
        <v>-0.23461538461538467</v>
      </c>
      <c r="F46" s="5">
        <f t="shared" si="47"/>
        <v>0.35820895522388052</v>
      </c>
      <c r="G46" s="5">
        <f t="shared" ref="G46:G49" si="48">(($G6/$M6)-1)</f>
        <v>-0.12307692307692308</v>
      </c>
      <c r="H46" s="5">
        <f t="shared" ref="H46:H49" si="49">(($J6/$M6)-1)</f>
        <v>-7.820512820512826E-2</v>
      </c>
      <c r="I46" s="5">
        <f t="shared" ref="I46:I49" si="50">(($D6/$P6)-1)</f>
        <v>-0.28158844765342961</v>
      </c>
      <c r="J46" s="5">
        <f t="shared" ref="J46:J49" si="51">(($G6/$P6)-1)</f>
        <v>-0.17689530685920563</v>
      </c>
      <c r="K46" s="5">
        <f t="shared" ref="K46:K49" si="52">(($J6/$P6)-1)</f>
        <v>-0.13477737665463296</v>
      </c>
      <c r="L46" s="5">
        <f t="shared" ref="L46:L49" si="53">(($M6/$P6)-1)</f>
        <v>-6.137184115523453E-2</v>
      </c>
    </row>
    <row r="47" spans="1:16" x14ac:dyDescent="0.25">
      <c r="A47" s="3" t="s">
        <v>30</v>
      </c>
      <c r="B47" s="6">
        <f t="shared" si="43"/>
        <v>-0.15059221658206423</v>
      </c>
      <c r="C47" s="6">
        <f t="shared" si="44"/>
        <v>0.40714285714285703</v>
      </c>
      <c r="D47" s="6">
        <f t="shared" si="45"/>
        <v>0.19523809523809521</v>
      </c>
      <c r="E47" s="6">
        <f t="shared" si="46"/>
        <v>0.12556053811659185</v>
      </c>
      <c r="F47" s="5">
        <f t="shared" si="47"/>
        <v>0.35820895522388052</v>
      </c>
      <c r="G47" s="5">
        <f t="shared" si="48"/>
        <v>0.32511210762331832</v>
      </c>
      <c r="H47" s="5">
        <f t="shared" si="49"/>
        <v>-5.8295964125560595E-2</v>
      </c>
      <c r="I47" s="5">
        <f t="shared" si="50"/>
        <v>-8.7272727272727391E-2</v>
      </c>
      <c r="J47" s="5">
        <f t="shared" si="51"/>
        <v>7.454545454545447E-2</v>
      </c>
      <c r="K47" s="5">
        <f t="shared" si="52"/>
        <v>-0.23636363636363644</v>
      </c>
      <c r="L47" s="5">
        <f t="shared" si="53"/>
        <v>-0.18909090909090909</v>
      </c>
    </row>
    <row r="48" spans="1:16" x14ac:dyDescent="0.25">
      <c r="A48" s="3" t="s">
        <v>31</v>
      </c>
      <c r="B48" s="6">
        <f t="shared" si="43"/>
        <v>1.8264840182648401E-2</v>
      </c>
      <c r="C48" s="6">
        <f t="shared" si="44"/>
        <v>0.22346368715083798</v>
      </c>
      <c r="D48" s="6">
        <f t="shared" si="45"/>
        <v>0.24581005586592175</v>
      </c>
      <c r="E48" s="6">
        <f t="shared" si="46"/>
        <v>0.2070365358592694</v>
      </c>
      <c r="F48" s="5">
        <f t="shared" si="47"/>
        <v>0.35820895522388052</v>
      </c>
      <c r="G48" s="5">
        <f t="shared" si="48"/>
        <v>0.18538565629228687</v>
      </c>
      <c r="H48" s="5">
        <f t="shared" si="49"/>
        <v>-3.112313937753719E-2</v>
      </c>
      <c r="I48" s="5">
        <f t="shared" si="50"/>
        <v>5.1886792452830344E-2</v>
      </c>
      <c r="J48" s="5">
        <f t="shared" si="51"/>
        <v>3.3018867924528239E-2</v>
      </c>
      <c r="K48" s="5">
        <f t="shared" si="52"/>
        <v>-0.15566037735849059</v>
      </c>
      <c r="L48" s="5">
        <f t="shared" si="53"/>
        <v>-0.12853773584905659</v>
      </c>
    </row>
    <row r="49" spans="1:16" x14ac:dyDescent="0.25">
      <c r="A49" s="3" t="s">
        <v>32</v>
      </c>
      <c r="B49" s="6">
        <f t="shared" si="43"/>
        <v>-3.4319526627218933E-2</v>
      </c>
      <c r="C49" s="6">
        <f t="shared" si="44"/>
        <v>0.15912208504801106</v>
      </c>
      <c r="D49" s="6">
        <f t="shared" si="45"/>
        <v>0.11934156378600824</v>
      </c>
      <c r="E49" s="6">
        <f t="shared" si="46"/>
        <v>0.11475409836065564</v>
      </c>
      <c r="F49" s="5">
        <f t="shared" si="47"/>
        <v>0.35820895522388052</v>
      </c>
      <c r="G49" s="5">
        <f t="shared" si="48"/>
        <v>0.15437158469945356</v>
      </c>
      <c r="H49" s="5">
        <f t="shared" si="49"/>
        <v>-4.098360655737654E-3</v>
      </c>
      <c r="I49" s="5">
        <f t="shared" si="50"/>
        <v>7.4074074074073071E-3</v>
      </c>
      <c r="J49" s="5">
        <f t="shared" si="51"/>
        <v>4.3209876543209846E-2</v>
      </c>
      <c r="K49" s="5">
        <f t="shared" si="52"/>
        <v>-0.10000000000000009</v>
      </c>
      <c r="L49" s="5">
        <f t="shared" si="53"/>
        <v>-9.6296296296296324E-2</v>
      </c>
      <c r="M49" s="7"/>
      <c r="N49" s="7"/>
      <c r="O49" s="7"/>
      <c r="P49" s="7"/>
    </row>
    <row r="50" spans="1:16" x14ac:dyDescent="0.25">
      <c r="A50" s="3" t="s">
        <v>8</v>
      </c>
      <c r="B50" s="6">
        <f t="shared" ref="B50" si="54">((D10/G10)-1)</f>
        <v>-6.0975609756097504E-2</v>
      </c>
      <c r="C50" s="6">
        <f t="shared" ref="C50" si="55">((G10/J10)-1)</f>
        <v>0.20588235294117641</v>
      </c>
      <c r="D50" s="6">
        <f t="shared" ref="D50" si="56">((D10/J10)-1)</f>
        <v>0.13235294117647056</v>
      </c>
      <c r="E50" s="6">
        <f t="shared" ref="E50" si="57">((D10/M10)-1)</f>
        <v>8.4507042253521236E-2</v>
      </c>
      <c r="F50" s="5">
        <f t="shared" si="47"/>
        <v>0.35820895522388052</v>
      </c>
      <c r="G50" s="5">
        <f t="shared" ref="G50" si="58">(($G10/$M10)-1)</f>
        <v>0.15492957746478875</v>
      </c>
      <c r="H50" s="5">
        <f t="shared" ref="H50" si="59">(($J10/$M10)-1)</f>
        <v>-4.2253521126760396E-2</v>
      </c>
      <c r="I50" s="5">
        <f t="shared" ref="I50" si="60">(($D10/$P10)-1)</f>
        <v>-3.7499999999999978E-2</v>
      </c>
      <c r="J50" s="5">
        <f t="shared" ref="J50" si="61">(($G10/$P10)-1)</f>
        <v>2.4999999999999911E-2</v>
      </c>
      <c r="K50" s="5">
        <f t="shared" ref="K50" si="62">(($J10/$P10)-1)</f>
        <v>-0.15000000000000002</v>
      </c>
      <c r="L50" s="5">
        <f t="shared" ref="L50" si="63">(($M10/$P10)-1)</f>
        <v>-0.11250000000000004</v>
      </c>
    </row>
    <row r="53" spans="1:16" x14ac:dyDescent="0.25">
      <c r="E53" s="1"/>
    </row>
  </sheetData>
  <mergeCells count="12">
    <mergeCell ref="K1:M1"/>
    <mergeCell ref="N1:P1"/>
    <mergeCell ref="B17:L17"/>
    <mergeCell ref="B29:L29"/>
    <mergeCell ref="B41:L41"/>
    <mergeCell ref="B1:D1"/>
    <mergeCell ref="E1:G1"/>
    <mergeCell ref="A1:A2"/>
    <mergeCell ref="A17:A18"/>
    <mergeCell ref="A29:A30"/>
    <mergeCell ref="A41:A42"/>
    <mergeCell ref="H1:J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 Gouveia</dc:creator>
  <cp:lastModifiedBy>Rafael Santos Gouveia</cp:lastModifiedBy>
  <dcterms:created xsi:type="dcterms:W3CDTF">2024-03-18T14:07:34Z</dcterms:created>
  <dcterms:modified xsi:type="dcterms:W3CDTF">2024-05-05T22:15:41Z</dcterms:modified>
</cp:coreProperties>
</file>